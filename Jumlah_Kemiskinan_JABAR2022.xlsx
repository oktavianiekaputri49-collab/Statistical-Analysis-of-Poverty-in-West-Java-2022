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BB68DE05-8942-4682-9351-F9105381CCC8}" xr6:coauthVersionLast="47" xr6:coauthVersionMax="47" xr10:uidLastSave="{00000000-0000-0000-0000-000000000000}"/>
  <bookViews>
    <workbookView xWindow="-110" yWindow="-110" windowWidth="19420" windowHeight="10300" xr2:uid="{3DE0F056-204C-4EC8-9637-A4CDF267A4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1" l="1"/>
  <c r="D34" i="1"/>
  <c r="D35" i="1"/>
  <c r="F4" i="1"/>
  <c r="D31" i="1"/>
  <c r="E4" i="1"/>
  <c r="D4" i="1"/>
  <c r="G5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2" i="1" l="1"/>
  <c r="G4" i="1" s="1"/>
  <c r="F30" i="1"/>
  <c r="G30" i="1" s="1"/>
  <c r="E30" i="1"/>
  <c r="F29" i="1"/>
  <c r="G29" i="1" s="1"/>
  <c r="E29" i="1"/>
  <c r="F28" i="1"/>
  <c r="G28" i="1" s="1"/>
  <c r="E28" i="1"/>
  <c r="F27" i="1"/>
  <c r="G27" i="1" s="1"/>
  <c r="E27" i="1"/>
  <c r="F26" i="1"/>
  <c r="G26" i="1" s="1"/>
  <c r="E26" i="1"/>
  <c r="F25" i="1"/>
  <c r="G25" i="1" s="1"/>
  <c r="E25" i="1"/>
  <c r="F24" i="1"/>
  <c r="G24" i="1" s="1"/>
  <c r="E24" i="1"/>
  <c r="F23" i="1"/>
  <c r="G23" i="1" s="1"/>
  <c r="E23" i="1"/>
  <c r="F22" i="1"/>
  <c r="G22" i="1" s="1"/>
  <c r="E22" i="1"/>
  <c r="F21" i="1"/>
  <c r="G21" i="1" s="1"/>
  <c r="E21" i="1"/>
  <c r="F20" i="1"/>
  <c r="G20" i="1" s="1"/>
  <c r="E20" i="1"/>
  <c r="F19" i="1"/>
  <c r="G19" i="1" s="1"/>
  <c r="E19" i="1"/>
  <c r="F18" i="1"/>
  <c r="G18" i="1" s="1"/>
  <c r="E18" i="1"/>
  <c r="F17" i="1"/>
  <c r="G17" i="1" s="1"/>
  <c r="E17" i="1"/>
  <c r="F16" i="1"/>
  <c r="G16" i="1" s="1"/>
  <c r="E16" i="1"/>
  <c r="F15" i="1"/>
  <c r="G15" i="1" s="1"/>
  <c r="E15" i="1"/>
  <c r="F14" i="1"/>
  <c r="G14" i="1" s="1"/>
  <c r="E14" i="1"/>
  <c r="F13" i="1"/>
  <c r="G13" i="1" s="1"/>
  <c r="E13" i="1"/>
  <c r="F12" i="1"/>
  <c r="G12" i="1" s="1"/>
  <c r="E12" i="1"/>
  <c r="F11" i="1"/>
  <c r="G11" i="1" s="1"/>
  <c r="E11" i="1"/>
  <c r="F10" i="1"/>
  <c r="G10" i="1" s="1"/>
  <c r="E10" i="1"/>
  <c r="F9" i="1"/>
  <c r="G9" i="1" s="1"/>
  <c r="E9" i="1"/>
  <c r="F8" i="1"/>
  <c r="G8" i="1" s="1"/>
  <c r="E8" i="1"/>
  <c r="F7" i="1"/>
  <c r="G7" i="1" s="1"/>
  <c r="E7" i="1"/>
  <c r="F6" i="1"/>
  <c r="G6" i="1" s="1"/>
  <c r="E6" i="1"/>
  <c r="F5" i="1"/>
  <c r="E5" i="1"/>
  <c r="D33" i="1" l="1"/>
  <c r="D37" i="1" s="1"/>
</calcChain>
</file>

<file path=xl/sharedStrings.xml><?xml version="1.0" encoding="utf-8"?>
<sst xmlns="http://schemas.openxmlformats.org/spreadsheetml/2006/main" count="42" uniqueCount="35">
  <si>
    <t>Kabupaten/
Kota</t>
  </si>
  <si>
    <t>Jumlah 
Penduduk (Jiwa)</t>
  </si>
  <si>
    <t>Persentase 
Kemiskinan</t>
  </si>
  <si>
    <t>Kemiskinan 
(Ribuan)</t>
  </si>
  <si>
    <t>Proporsi</t>
  </si>
  <si>
    <t>xi-xbar</t>
  </si>
  <si>
    <t>(xi-xbar)^2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</si>
  <si>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</si>
  <si>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</si>
  <si>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</si>
  <si>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</si>
  <si>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</si>
  <si>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</si>
  <si>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</si>
  <si>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</si>
  <si>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</si>
  <si>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</si>
  <si>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</si>
  <si>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</si>
  <si>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</si>
  <si>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</si>
  <si>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</si>
  <si>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</si>
  <si>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</si>
  <si>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</si>
  <si>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Depok</t>
  </si>
  <si>
    <t>Cimahi</t>
  </si>
  <si>
    <t>Banjar</t>
  </si>
  <si>
    <t>Jumlah Kemiskinan di Jawa Barat Tahun 2022</t>
  </si>
  <si>
    <t>Total</t>
  </si>
  <si>
    <t>Rata-rata</t>
  </si>
  <si>
    <t>Total Proporsi</t>
  </si>
  <si>
    <t>Total S^2</t>
  </si>
  <si>
    <t>S^2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</si>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</sst>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64" fontId="3" fillId="0" borderId="0" xfId="1" applyNumberFormat="1" applyFont="1"/>
    <xf numFmtId="2" fontId="3" fillId="0" borderId="0" xfId="0" applyNumberFormat="1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2" fontId="2" fillId="0" borderId="0" xfId="0" applyNumberFormat="1" applyFont="1"/>
    <xf numFmtId="43" fontId="2" fillId="0" borderId="0" xfId="1" applyFont="1"/>
    <xf numFmtId="43" fontId="2" fillId="0" borderId="0" xfId="0" applyNumberFormat="1" applyFont="1"/>
    <xf numFmtId="43" fontId="3" fillId="0" borderId="1" xfId="1" applyFont="1" applyBorder="1"/>
    <xf numFmtId="43" fontId="3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F0911-8CC8-4919-917A-F02AD01B5B78}">
  <dimension ref="A1:G37"/>
  <sheetViews>
    <sheetView tabSelected="1" workbookViewId="0">
      <selection activeCell="D37" sqref="D37"/>
    </sheetView>
  </sheetViews>
  <sheetFormatPr defaultRowHeight="15.5" x14ac:dyDescent="0.35"/>
  <cols>
    <col min="1" max="1" width="14.08984375" style="4" bestFit="1" customWidth="1"/>
    <col min="2" max="2" width="18" style="4" customWidth="1"/>
    <col min="3" max="3" width="14.54296875" style="4" bestFit="1" customWidth="1"/>
    <col min="4" max="4" width="12.54296875" style="4" customWidth="1"/>
    <col min="5" max="5" width="10" style="4" customWidth="1"/>
    <col min="6" max="6" width="8.26953125" style="4" customWidth="1"/>
    <col min="7" max="7" width="12.26953125" style="4" customWidth="1"/>
    <col min="8" max="16384" width="8.7265625" style="4"/>
  </cols>
  <sheetData>
    <row r="1" spans="1:7" x14ac:dyDescent="0.35">
      <c r="A1" s="1" t="s">
        <v>28</v>
      </c>
      <c r="B1" s="2"/>
      <c r="C1" s="3"/>
    </row>
    <row r="2" spans="1:7" x14ac:dyDescent="0.35">
      <c r="B2" s="2"/>
      <c r="C2" s="3"/>
    </row>
    <row r="3" spans="1:7" ht="30" x14ac:dyDescent="0.35">
      <c r="A3" s="5" t="s">
        <v>0</v>
      </c>
      <c r="B3" s="6" t="s">
        <v>1</v>
      </c>
      <c r="C3" s="7" t="s">
        <v>2</v>
      </c>
      <c r="D3" s="8" t="s">
        <v>3</v>
      </c>
      <c r="E3" s="9" t="s">
        <v>4</v>
      </c>
      <c r="F3" s="10" t="s">
        <v>5</v>
      </c>
      <c r="G3" s="10" t="s">
        <v>6</v>
      </c>
    </row>
    <row r="4" spans="1:7" x14ac:dyDescent="0.35">
      <c r="A4" s="11" t="s">
        <v>7</v>
      </c>
      <c r="B4" s="11">
        <v>474.74</v>
      </c>
      <c r="C4" s="11">
        <v>7.73</v>
      </c>
      <c r="D4" s="15">
        <f>C4*B4/100</f>
        <v>36.697402000000004</v>
      </c>
      <c r="E4" s="16">
        <f>D4/B4</f>
        <v>7.7300000000000008E-2</v>
      </c>
      <c r="F4" s="16">
        <f>D4-$D$32</f>
        <v>23.039638629629636</v>
      </c>
      <c r="G4" s="16">
        <f>F4^2</f>
        <v>530.82494818392217</v>
      </c>
    </row>
    <row r="5" spans="1:7" x14ac:dyDescent="0.35">
      <c r="A5" s="11" t="s">
        <v>8</v>
      </c>
      <c r="B5" s="11">
        <v>186.28</v>
      </c>
      <c r="C5" s="11">
        <v>7.34</v>
      </c>
      <c r="D5" s="15">
        <f t="shared" ref="D5:D30" si="0">C5*B5/100</f>
        <v>13.672952</v>
      </c>
      <c r="E5" s="16">
        <f t="shared" ref="E5:E30" si="1">D5/B5</f>
        <v>7.3400000000000007E-2</v>
      </c>
      <c r="F5" s="16">
        <f t="shared" ref="F5:F30" si="2">D5-$D$32</f>
        <v>1.5188629629632189E-2</v>
      </c>
      <c r="G5" s="16">
        <f>F5^2</f>
        <v>2.3069447002614085E-4</v>
      </c>
    </row>
    <row r="6" spans="1:7" x14ac:dyDescent="0.35">
      <c r="A6" s="11" t="s">
        <v>9</v>
      </c>
      <c r="B6" s="11">
        <v>246.81</v>
      </c>
      <c r="C6" s="11">
        <v>10.55</v>
      </c>
      <c r="D6" s="15">
        <f t="shared" si="0"/>
        <v>26.038455000000003</v>
      </c>
      <c r="E6" s="16">
        <f t="shared" si="1"/>
        <v>0.10550000000000001</v>
      </c>
      <c r="F6" s="16">
        <f t="shared" si="2"/>
        <v>12.380691629629634</v>
      </c>
      <c r="G6" s="16">
        <f t="shared" ref="G6:G30" si="3">F6^2</f>
        <v>153.28152522798129</v>
      </c>
    </row>
    <row r="7" spans="1:7" x14ac:dyDescent="0.35">
      <c r="A7" s="11" t="s">
        <v>10</v>
      </c>
      <c r="B7" s="11">
        <v>258.61</v>
      </c>
      <c r="C7" s="11">
        <v>6.8</v>
      </c>
      <c r="D7" s="15">
        <f t="shared" si="0"/>
        <v>17.58548</v>
      </c>
      <c r="E7" s="16">
        <f t="shared" si="1"/>
        <v>6.8000000000000005E-2</v>
      </c>
      <c r="F7" s="16">
        <f t="shared" si="2"/>
        <v>3.9277166296296322</v>
      </c>
      <c r="G7" s="16">
        <f t="shared" si="3"/>
        <v>15.426957922669157</v>
      </c>
    </row>
    <row r="8" spans="1:7" x14ac:dyDescent="0.35">
      <c r="A8" s="11" t="s">
        <v>11</v>
      </c>
      <c r="B8" s="11">
        <v>276.67</v>
      </c>
      <c r="C8" s="11">
        <v>10.42</v>
      </c>
      <c r="D8" s="15">
        <f t="shared" si="0"/>
        <v>28.829014000000001</v>
      </c>
      <c r="E8" s="16">
        <f t="shared" si="1"/>
        <v>0.1042</v>
      </c>
      <c r="F8" s="16">
        <f t="shared" si="2"/>
        <v>15.171250629629633</v>
      </c>
      <c r="G8" s="16">
        <f t="shared" si="3"/>
        <v>230.16684566703753</v>
      </c>
    </row>
    <row r="9" spans="1:7" x14ac:dyDescent="0.35">
      <c r="A9" s="11" t="s">
        <v>12</v>
      </c>
      <c r="B9" s="11">
        <v>194.1</v>
      </c>
      <c r="C9" s="11">
        <v>10.73</v>
      </c>
      <c r="D9" s="15">
        <f t="shared" si="0"/>
        <v>20.826930000000001</v>
      </c>
      <c r="E9" s="16">
        <f t="shared" si="1"/>
        <v>0.10730000000000001</v>
      </c>
      <c r="F9" s="16">
        <f t="shared" si="2"/>
        <v>7.1691666296296326</v>
      </c>
      <c r="G9" s="16">
        <f t="shared" si="3"/>
        <v>51.396950163395104</v>
      </c>
    </row>
    <row r="10" spans="1:7" x14ac:dyDescent="0.35">
      <c r="A10" s="11" t="s">
        <v>13</v>
      </c>
      <c r="B10" s="11">
        <v>93.96</v>
      </c>
      <c r="C10" s="11">
        <v>7.72</v>
      </c>
      <c r="D10" s="15">
        <f t="shared" si="0"/>
        <v>7.2537119999999993</v>
      </c>
      <c r="E10" s="16">
        <f t="shared" si="1"/>
        <v>7.7199999999999991E-2</v>
      </c>
      <c r="F10" s="16">
        <f t="shared" si="2"/>
        <v>-6.404051370370369</v>
      </c>
      <c r="G10" s="16">
        <f t="shared" si="3"/>
        <v>41.011873954342597</v>
      </c>
    </row>
    <row r="11" spans="1:7" x14ac:dyDescent="0.35">
      <c r="A11" s="11" t="s">
        <v>14</v>
      </c>
      <c r="B11" s="11">
        <v>140.25</v>
      </c>
      <c r="C11" s="11">
        <v>12.76</v>
      </c>
      <c r="D11" s="15">
        <f t="shared" si="0"/>
        <v>17.895899999999997</v>
      </c>
      <c r="E11" s="16">
        <f t="shared" si="1"/>
        <v>0.12759999999999999</v>
      </c>
      <c r="F11" s="16">
        <f t="shared" si="2"/>
        <v>4.2381366296296292</v>
      </c>
      <c r="G11" s="16">
        <f t="shared" si="3"/>
        <v>17.961802091408394</v>
      </c>
    </row>
    <row r="12" spans="1:7" x14ac:dyDescent="0.35">
      <c r="A12" s="11" t="s">
        <v>15</v>
      </c>
      <c r="B12" s="11">
        <v>266.10000000000002</v>
      </c>
      <c r="C12" s="11">
        <v>12.01</v>
      </c>
      <c r="D12" s="15">
        <f t="shared" si="0"/>
        <v>31.958610000000004</v>
      </c>
      <c r="E12" s="16">
        <f t="shared" si="1"/>
        <v>0.1201</v>
      </c>
      <c r="F12" s="16">
        <f t="shared" si="2"/>
        <v>18.300846629629635</v>
      </c>
      <c r="G12" s="16">
        <f t="shared" si="3"/>
        <v>334.92098736122637</v>
      </c>
    </row>
    <row r="13" spans="1:7" x14ac:dyDescent="0.35">
      <c r="A13" s="11" t="s">
        <v>16</v>
      </c>
      <c r="B13" s="11">
        <v>147.12</v>
      </c>
      <c r="C13" s="11">
        <v>11.94</v>
      </c>
      <c r="D13" s="15">
        <f t="shared" si="0"/>
        <v>17.566127999999999</v>
      </c>
      <c r="E13" s="16">
        <f t="shared" si="1"/>
        <v>0.11939999999999999</v>
      </c>
      <c r="F13" s="16">
        <f t="shared" si="2"/>
        <v>3.9083646296296308</v>
      </c>
      <c r="G13" s="16">
        <f t="shared" si="3"/>
        <v>15.275314078139962</v>
      </c>
    </row>
    <row r="14" spans="1:7" x14ac:dyDescent="0.35">
      <c r="A14" s="11" t="s">
        <v>17</v>
      </c>
      <c r="B14" s="11">
        <v>120.12</v>
      </c>
      <c r="C14" s="11">
        <v>10.14</v>
      </c>
      <c r="D14" s="15">
        <f t="shared" si="0"/>
        <v>12.180168000000002</v>
      </c>
      <c r="E14" s="16">
        <f t="shared" si="1"/>
        <v>0.10140000000000002</v>
      </c>
      <c r="F14" s="16">
        <f t="shared" si="2"/>
        <v>-1.4775953703703664</v>
      </c>
      <c r="G14" s="16">
        <f t="shared" si="3"/>
        <v>2.18328807853994</v>
      </c>
    </row>
    <row r="15" spans="1:7" x14ac:dyDescent="0.35">
      <c r="A15" s="11" t="s">
        <v>18</v>
      </c>
      <c r="B15" s="11">
        <v>225.04</v>
      </c>
      <c r="C15" s="11">
        <v>12.77</v>
      </c>
      <c r="D15" s="15">
        <f t="shared" si="0"/>
        <v>28.737608000000002</v>
      </c>
      <c r="E15" s="16">
        <f t="shared" si="1"/>
        <v>0.12770000000000001</v>
      </c>
      <c r="F15" s="16">
        <f t="shared" si="2"/>
        <v>15.079844629629633</v>
      </c>
      <c r="G15" s="16">
        <f t="shared" si="3"/>
        <v>227.40171405376969</v>
      </c>
    </row>
    <row r="16" spans="1:7" x14ac:dyDescent="0.35">
      <c r="A16" s="11" t="s">
        <v>19</v>
      </c>
      <c r="B16" s="11">
        <v>155.34</v>
      </c>
      <c r="C16" s="11">
        <v>9.75</v>
      </c>
      <c r="D16" s="15">
        <f t="shared" si="0"/>
        <v>15.14565</v>
      </c>
      <c r="E16" s="16">
        <f t="shared" si="1"/>
        <v>9.7500000000000003E-2</v>
      </c>
      <c r="F16" s="16">
        <f t="shared" si="2"/>
        <v>1.4878866296296316</v>
      </c>
      <c r="G16" s="16">
        <f t="shared" si="3"/>
        <v>2.2138066226306243</v>
      </c>
    </row>
    <row r="17" spans="1:7" x14ac:dyDescent="0.35">
      <c r="A17" s="11" t="s">
        <v>20</v>
      </c>
      <c r="B17" s="11">
        <v>83.44</v>
      </c>
      <c r="C17" s="11">
        <v>8.6999999999999993</v>
      </c>
      <c r="D17" s="15">
        <f t="shared" si="0"/>
        <v>7.2592799999999986</v>
      </c>
      <c r="E17" s="16">
        <f t="shared" si="1"/>
        <v>8.699999999999998E-2</v>
      </c>
      <c r="F17" s="16">
        <f t="shared" si="2"/>
        <v>-6.3984833703703696</v>
      </c>
      <c r="G17" s="16">
        <f t="shared" si="3"/>
        <v>40.940589440906166</v>
      </c>
    </row>
    <row r="18" spans="1:7" x14ac:dyDescent="0.35">
      <c r="A18" s="11" t="s">
        <v>21</v>
      </c>
      <c r="B18" s="11">
        <v>199.91</v>
      </c>
      <c r="C18" s="11">
        <v>8.44</v>
      </c>
      <c r="D18" s="15">
        <f t="shared" si="0"/>
        <v>16.872404</v>
      </c>
      <c r="E18" s="16">
        <f t="shared" si="1"/>
        <v>8.4400000000000003E-2</v>
      </c>
      <c r="F18" s="16">
        <f t="shared" si="2"/>
        <v>3.2146406296296313</v>
      </c>
      <c r="G18" s="16">
        <f t="shared" si="3"/>
        <v>10.333914377665591</v>
      </c>
    </row>
    <row r="19" spans="1:7" x14ac:dyDescent="0.35">
      <c r="A19" s="11" t="s">
        <v>22</v>
      </c>
      <c r="B19" s="11">
        <v>201.14</v>
      </c>
      <c r="C19" s="11">
        <v>5.01</v>
      </c>
      <c r="D19" s="15">
        <f t="shared" si="0"/>
        <v>10.077114</v>
      </c>
      <c r="E19" s="16">
        <f t="shared" si="1"/>
        <v>5.0100000000000006E-2</v>
      </c>
      <c r="F19" s="16">
        <f t="shared" si="2"/>
        <v>-3.5806493703703683</v>
      </c>
      <c r="G19" s="16">
        <f t="shared" si="3"/>
        <v>12.821049913533715</v>
      </c>
    </row>
    <row r="20" spans="1:7" x14ac:dyDescent="0.35">
      <c r="A20" s="11" t="s">
        <v>23</v>
      </c>
      <c r="B20" s="11">
        <v>183.67</v>
      </c>
      <c r="C20" s="11">
        <v>10.82</v>
      </c>
      <c r="D20" s="15">
        <f t="shared" si="0"/>
        <v>19.873093999999998</v>
      </c>
      <c r="E20" s="16">
        <f t="shared" si="1"/>
        <v>0.1082</v>
      </c>
      <c r="F20" s="16">
        <f t="shared" si="2"/>
        <v>6.21533062962963</v>
      </c>
      <c r="G20" s="16">
        <f t="shared" si="3"/>
        <v>38.630334835612253</v>
      </c>
    </row>
    <row r="21" spans="1:7" x14ac:dyDescent="0.35">
      <c r="A21" s="11" t="s">
        <v>24</v>
      </c>
      <c r="B21" s="11">
        <v>37.909999999999997</v>
      </c>
      <c r="C21" s="11">
        <v>9.32</v>
      </c>
      <c r="D21" s="15">
        <f t="shared" si="0"/>
        <v>3.5332119999999998</v>
      </c>
      <c r="E21" s="16">
        <f t="shared" si="1"/>
        <v>9.3200000000000005E-2</v>
      </c>
      <c r="F21" s="16">
        <f t="shared" si="2"/>
        <v>-10.124551370370369</v>
      </c>
      <c r="G21" s="16">
        <f t="shared" si="3"/>
        <v>102.50654045126852</v>
      </c>
    </row>
    <row r="22" spans="1:7" x14ac:dyDescent="0.35">
      <c r="A22" s="11" t="s">
        <v>7</v>
      </c>
      <c r="B22" s="11">
        <v>79.150000000000006</v>
      </c>
      <c r="C22" s="11">
        <v>7.1</v>
      </c>
      <c r="D22" s="15">
        <f t="shared" si="0"/>
        <v>5.61965</v>
      </c>
      <c r="E22" s="16">
        <f t="shared" si="1"/>
        <v>7.0999999999999994E-2</v>
      </c>
      <c r="F22" s="16">
        <f t="shared" si="2"/>
        <v>-8.0381133703703682</v>
      </c>
      <c r="G22" s="16">
        <f t="shared" si="3"/>
        <v>64.611266554926885</v>
      </c>
    </row>
    <row r="23" spans="1:7" x14ac:dyDescent="0.35">
      <c r="A23" s="11" t="s">
        <v>8</v>
      </c>
      <c r="B23" s="11">
        <v>26.59</v>
      </c>
      <c r="C23" s="11">
        <v>8.02</v>
      </c>
      <c r="D23" s="15">
        <f t="shared" si="0"/>
        <v>2.1325179999999997</v>
      </c>
      <c r="E23" s="16">
        <f t="shared" si="1"/>
        <v>8.0199999999999994E-2</v>
      </c>
      <c r="F23" s="16">
        <f t="shared" si="2"/>
        <v>-11.525245370370369</v>
      </c>
      <c r="G23" s="16">
        <f t="shared" si="3"/>
        <v>132.83128084724362</v>
      </c>
    </row>
    <row r="24" spans="1:7" x14ac:dyDescent="0.35">
      <c r="A24" s="11" t="s">
        <v>10</v>
      </c>
      <c r="B24" s="11">
        <v>109.82</v>
      </c>
      <c r="C24" s="11">
        <v>4.25</v>
      </c>
      <c r="D24" s="15">
        <f t="shared" si="0"/>
        <v>4.6673499999999999</v>
      </c>
      <c r="E24" s="16">
        <f t="shared" si="1"/>
        <v>4.2500000000000003E-2</v>
      </c>
      <c r="F24" s="16">
        <f t="shared" si="2"/>
        <v>-8.9904133703703693</v>
      </c>
      <c r="G24" s="16">
        <f t="shared" si="3"/>
        <v>80.827532570134309</v>
      </c>
    </row>
    <row r="25" spans="1:7" x14ac:dyDescent="0.35">
      <c r="A25" s="11" t="s">
        <v>15</v>
      </c>
      <c r="B25" s="11">
        <v>31.47</v>
      </c>
      <c r="C25" s="11">
        <v>9.82</v>
      </c>
      <c r="D25" s="15">
        <f t="shared" si="0"/>
        <v>3.0903539999999996</v>
      </c>
      <c r="E25" s="16">
        <f t="shared" si="1"/>
        <v>9.8199999999999996E-2</v>
      </c>
      <c r="F25" s="16">
        <f t="shared" si="2"/>
        <v>-10.567409370370369</v>
      </c>
      <c r="G25" s="16">
        <f t="shared" si="3"/>
        <v>111.67014080099148</v>
      </c>
    </row>
    <row r="26" spans="1:7" x14ac:dyDescent="0.35">
      <c r="A26" s="11" t="s">
        <v>22</v>
      </c>
      <c r="B26" s="11">
        <v>137.38999999999999</v>
      </c>
      <c r="C26" s="11">
        <v>4.43</v>
      </c>
      <c r="D26" s="15">
        <f t="shared" si="0"/>
        <v>6.0863769999999988</v>
      </c>
      <c r="E26" s="16">
        <f t="shared" si="1"/>
        <v>4.4299999999999999E-2</v>
      </c>
      <c r="F26" s="16">
        <f t="shared" si="2"/>
        <v>-7.5713863703703694</v>
      </c>
      <c r="G26" s="16">
        <f t="shared" si="3"/>
        <v>57.325891569430198</v>
      </c>
    </row>
    <row r="27" spans="1:7" x14ac:dyDescent="0.35">
      <c r="A27" s="11" t="s">
        <v>25</v>
      </c>
      <c r="B27" s="11">
        <v>64.36</v>
      </c>
      <c r="C27" s="11">
        <v>2.5299999999999998</v>
      </c>
      <c r="D27" s="15">
        <f t="shared" si="0"/>
        <v>1.6283079999999999</v>
      </c>
      <c r="E27" s="16">
        <f t="shared" si="1"/>
        <v>2.53E-2</v>
      </c>
      <c r="F27" s="16">
        <f t="shared" si="2"/>
        <v>-12.029455370370368</v>
      </c>
      <c r="G27" s="16">
        <f t="shared" si="3"/>
        <v>144.70779650773247</v>
      </c>
    </row>
    <row r="28" spans="1:7" x14ac:dyDescent="0.35">
      <c r="A28" s="11" t="s">
        <v>26</v>
      </c>
      <c r="B28" s="11">
        <v>31.16</v>
      </c>
      <c r="C28" s="11">
        <v>5.1100000000000003</v>
      </c>
      <c r="D28" s="15">
        <f t="shared" si="0"/>
        <v>1.5922760000000002</v>
      </c>
      <c r="E28" s="16">
        <f t="shared" si="1"/>
        <v>5.1100000000000007E-2</v>
      </c>
      <c r="F28" s="16">
        <f t="shared" si="2"/>
        <v>-12.065487370370368</v>
      </c>
      <c r="G28" s="16">
        <f t="shared" si="3"/>
        <v>145.57598548456687</v>
      </c>
    </row>
    <row r="29" spans="1:7" x14ac:dyDescent="0.35">
      <c r="A29" s="11" t="s">
        <v>12</v>
      </c>
      <c r="B29" s="11">
        <v>87.13</v>
      </c>
      <c r="C29" s="11">
        <v>12.72</v>
      </c>
      <c r="D29" s="15">
        <f t="shared" si="0"/>
        <v>11.082936</v>
      </c>
      <c r="E29" s="16">
        <f t="shared" si="1"/>
        <v>0.12720000000000001</v>
      </c>
      <c r="F29" s="16">
        <f t="shared" si="2"/>
        <v>-2.5748273703703681</v>
      </c>
      <c r="G29" s="16">
        <f t="shared" si="3"/>
        <v>6.6297359872083845</v>
      </c>
    </row>
    <row r="30" spans="1:7" x14ac:dyDescent="0.35">
      <c r="A30" s="11" t="s">
        <v>27</v>
      </c>
      <c r="B30" s="11">
        <v>12.73</v>
      </c>
      <c r="C30" s="11">
        <v>6.73</v>
      </c>
      <c r="D30" s="15">
        <f t="shared" si="0"/>
        <v>0.85672900000000007</v>
      </c>
      <c r="E30" s="16">
        <f t="shared" si="1"/>
        <v>6.7299999999999999E-2</v>
      </c>
      <c r="F30" s="16">
        <f t="shared" si="2"/>
        <v>-12.801034370370369</v>
      </c>
      <c r="G30" s="16">
        <f t="shared" si="3"/>
        <v>163.8664809514035</v>
      </c>
    </row>
    <row r="31" spans="1:7" x14ac:dyDescent="0.35">
      <c r="C31" s="12" t="s">
        <v>29</v>
      </c>
      <c r="D31" s="13">
        <f>SUM(D4:D30)</f>
        <v>368.75961099999995</v>
      </c>
    </row>
    <row r="32" spans="1:7" x14ac:dyDescent="0.35">
      <c r="C32" s="12" t="s">
        <v>30</v>
      </c>
      <c r="D32" s="14">
        <f>AVERAGE(D4:D30)</f>
        <v>13.657763370370368</v>
      </c>
    </row>
    <row r="33" spans="3:4" x14ac:dyDescent="0.35">
      <c r="C33" s="12" t="s">
        <v>31</v>
      </c>
      <c r="D33" s="14">
        <f>SUM(E4:E30)</f>
        <v>2.3365999999999998</v>
      </c>
    </row>
    <row r="34" spans="3:4" x14ac:dyDescent="0.35">
      <c r="C34" s="12" t="s">
        <v>4</v>
      </c>
      <c r="D34" s="14">
        <f>D33/27</f>
        <v>8.6540740740740738E-2</v>
      </c>
    </row>
    <row r="35" spans="3:4" x14ac:dyDescent="0.35">
      <c r="C35" s="12" t="s">
        <v>32</v>
      </c>
      <c r="D35" s="13">
        <f>SUM(G4:G30)</f>
        <v>2735.3447843921567</v>
      </c>
    </row>
    <row r="36" spans="3:4" x14ac:dyDescent="0.35">
      <c r="C36" s="12" t="s">
        <v>33</v>
      </c>
      <c r="D36" s="14">
        <f>D35/26</f>
        <v>105.20556863046757</v>
      </c>
    </row>
    <row r="37" spans="3:4" x14ac:dyDescent="0.35">
      <c r="C37" s="12" t="s">
        <v>34</v>
      </c>
      <c r="D37" s="14">
        <f>1-D34</f>
        <v>0.9134592592592593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2026-06-03T03:14:05Z</dcterms:created>
  <dcterms:modified xsi:type="dcterms:W3CDTF">2026-06-03T17:11:29Z</dcterms:modified>
</cp:coreProperties>
</file>